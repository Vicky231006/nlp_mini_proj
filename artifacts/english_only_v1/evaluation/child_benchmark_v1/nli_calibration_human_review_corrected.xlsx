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ummary" sheetId="1" state="visible" r:id="rId1"/>
    <sheet xmlns:r="http://schemas.openxmlformats.org/officeDocument/2006/relationships" name="Claims Review" sheetId="2" state="visible" r:id="rId2"/>
  </sheets>
  <definedNames>
    <definedName name="_xlnm._FilterDatabase" localSheetId="1" hidden="1">'Claims Review'!$A$1:$M$41</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Calibri"/>
      <b val="1"/>
      <color rgb="001F497D"/>
      <sz val="16"/>
    </font>
    <font>
      <name val="Calibri"/>
      <i val="1"/>
      <color rgb="00595959"/>
      <sz val="11"/>
    </font>
    <font>
      <name val="Calibri"/>
      <b val="1"/>
      <color rgb="00FFFFFF"/>
      <sz val="11"/>
    </font>
    <font>
      <name val="Calibri"/>
      <color rgb="00000000"/>
      <sz val="10"/>
    </font>
    <font>
      <name val="Calibri"/>
      <b val="1"/>
      <color rgb="00000000"/>
      <sz val="10"/>
    </font>
    <font>
      <name val="Calibri"/>
      <b val="1"/>
      <color rgb="001F497D"/>
      <sz val="12"/>
    </font>
    <font>
      <name val="Calibri"/>
      <b val="1"/>
      <color rgb="00276A3C"/>
      <sz val="10"/>
    </font>
    <font>
      <name val="Calibri"/>
      <b val="1"/>
      <color rgb="008A6D3B"/>
      <sz val="10"/>
    </font>
    <font>
      <name val="Calibri"/>
      <b val="1"/>
      <color rgb="00595959"/>
      <sz val="10"/>
    </font>
    <font>
      <name val="Calibri"/>
      <b val="1"/>
      <color rgb="00A61C1C"/>
      <sz val="10"/>
    </font>
  </fonts>
  <fills count="8">
    <fill>
      <patternFill/>
    </fill>
    <fill>
      <patternFill patternType="gray125"/>
    </fill>
    <fill>
      <patternFill patternType="solid">
        <fgColor rgb="001F497D"/>
        <bgColor rgb="001F497D"/>
      </patternFill>
    </fill>
    <fill>
      <patternFill patternType="solid">
        <fgColor rgb="00F2F5F9"/>
        <bgColor rgb="00F2F5F9"/>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164" fontId="4" fillId="0" borderId="1" applyAlignment="1" pivotButton="0" quotePrefix="0" xfId="0">
      <alignment horizontal="right" vertical="center"/>
    </xf>
    <xf numFmtId="0" fontId="5" fillId="3" borderId="1" applyAlignment="1" pivotButton="0" quotePrefix="0" xfId="0">
      <alignment horizontal="left" vertical="center" wrapText="1"/>
    </xf>
    <xf numFmtId="0" fontId="5" fillId="3" borderId="1" applyAlignment="1" pivotButton="0" quotePrefix="0" xfId="0">
      <alignment horizontal="right" vertical="center"/>
    </xf>
    <xf numFmtId="164" fontId="5" fillId="3" borderId="1" applyAlignment="1" pivotButton="0" quotePrefix="0" xfId="0">
      <alignment horizontal="right" vertical="center"/>
    </xf>
    <xf numFmtId="0" fontId="6" fillId="0" borderId="0" pivotButton="0" quotePrefix="0" xfId="0"/>
    <xf numFmtId="0" fontId="4" fillId="0" borderId="0" pivotButton="0" quotePrefix="0" xfId="0"/>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165" fontId="4" fillId="3" borderId="1" applyAlignment="1" pivotButton="0" quotePrefix="0" xfId="0">
      <alignment horizontal="right" vertical="center"/>
    </xf>
    <xf numFmtId="0" fontId="7" fillId="4" borderId="1" applyAlignment="1" pivotButton="0" quotePrefix="0" xfId="0">
      <alignment horizontal="center" vertical="center" wrapText="1"/>
    </xf>
    <xf numFmtId="0" fontId="4" fillId="0" borderId="1" applyAlignment="1" pivotButton="0" quotePrefix="0" xfId="0">
      <alignment horizontal="center" vertical="center" wrapText="1"/>
    </xf>
    <xf numFmtId="165" fontId="4" fillId="0" borderId="1" applyAlignment="1" pivotButton="0" quotePrefix="0" xfId="0">
      <alignment horizontal="right" vertical="center"/>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RowHeight="15"/>
  <cols>
    <col width="28" customWidth="1" min="1" max="1"/>
    <col width="12" customWidth="1" min="2" max="2"/>
    <col width="14" customWidth="1" min="3" max="3"/>
    <col width="65" customWidth="1" min="4" max="4"/>
  </cols>
  <sheetData>
    <row r="1">
      <c r="A1" s="1" t="inlineStr">
        <is>
          <t>NLI Evidence Calibration — Human Review Summary</t>
        </is>
      </c>
    </row>
    <row r="2">
      <c r="A2" s="2" t="inlineStr">
        <is>
          <t>Strict adherence to evidence entails/conflicts verification protocol.</t>
        </is>
      </c>
    </row>
    <row r="4">
      <c r="A4" s="3" t="inlineStr">
        <is>
          <t>Review Classification Breakdown</t>
        </is>
      </c>
      <c r="B4" s="3" t="inlineStr">
        <is>
          <t>Count</t>
        </is>
      </c>
      <c r="C4" s="3" t="inlineStr">
        <is>
          <t>Percentage</t>
        </is>
      </c>
      <c r="D4" s="3" t="inlineStr">
        <is>
          <t>Guideline Definition</t>
        </is>
      </c>
    </row>
    <row r="5">
      <c r="A5" s="4" t="inlineStr">
        <is>
          <t>SUPPORTED</t>
        </is>
      </c>
      <c r="B5" s="5">
        <f>COUNTIF('Claims Review'!K2:K41, "SUPPORTED")</f>
        <v/>
      </c>
      <c r="C5" s="6">
        <f>B5/40</f>
        <v/>
      </c>
      <c r="D5" s="4" t="inlineStr">
        <is>
          <t>The evidence explicitly entails the claim.</t>
        </is>
      </c>
    </row>
    <row r="6">
      <c r="A6" s="4" t="inlineStr">
        <is>
          <t>PARTIALLY_SUPPORTED</t>
        </is>
      </c>
      <c r="B6" s="5">
        <f>COUNTIF('Claims Review'!K2:K41, "PARTIALLY_SUPPORTED")</f>
        <v/>
      </c>
      <c r="C6" s="6">
        <f>B6/40</f>
        <v/>
      </c>
      <c r="D6" s="4" t="inlineStr">
        <is>
          <t>Only part of the claim is established by the evidence.</t>
        </is>
      </c>
    </row>
    <row r="7">
      <c r="A7" s="4" t="inlineStr">
        <is>
          <t>CONTRADICTED</t>
        </is>
      </c>
      <c r="B7" s="5">
        <f>COUNTIF('Claims Review'!K2:K41, "CONTRADICTED")</f>
        <v/>
      </c>
      <c r="C7" s="6">
        <f>B7/40</f>
        <v/>
      </c>
      <c r="D7" s="4" t="inlineStr">
        <is>
          <t>The evidence explicitly conflicts with the claim.</t>
        </is>
      </c>
    </row>
    <row r="8">
      <c r="A8" s="4" t="inlineStr">
        <is>
          <t>NOT_ENOUGH_INFORMATION</t>
        </is>
      </c>
      <c r="B8" s="5">
        <f>COUNTIF('Claims Review'!K2:K41, "NOT_ENOUGH_INFORMATION")</f>
        <v/>
      </c>
      <c r="C8" s="6">
        <f>B8/40</f>
        <v/>
      </c>
      <c r="D8" s="4" t="inlineStr">
        <is>
          <t>The evidence neither establishes nor contradicts the claim.</t>
        </is>
      </c>
    </row>
    <row r="9">
      <c r="A9" s="4" t="inlineStr">
        <is>
          <t>AMBIGUOUS</t>
        </is>
      </c>
      <c r="B9" s="5">
        <f>COUNTIF('Claims Review'!K2:K41, "AMBIGUOUS")</f>
        <v/>
      </c>
      <c r="C9" s="6">
        <f>B9/40</f>
        <v/>
      </c>
      <c r="D9" s="4" t="inlineStr">
        <is>
          <t>The relationship cannot be confidently determined.</t>
        </is>
      </c>
    </row>
    <row r="10">
      <c r="A10" s="7" t="inlineStr">
        <is>
          <t>Total Reviewed</t>
        </is>
      </c>
      <c r="B10" s="8">
        <f>SUM(B5:B9)</f>
        <v/>
      </c>
      <c r="C10" s="9">
        <f>SUM(C5:C9)</f>
        <v/>
      </c>
      <c r="D10" s="7" t="inlineStr">
        <is>
          <t>Total sample evaluated under the strict review rubrics.</t>
        </is>
      </c>
    </row>
    <row r="12">
      <c r="A12" s="10" t="inlineStr">
        <is>
          <t>Key Calibration Observations</t>
        </is>
      </c>
    </row>
    <row r="13">
      <c r="A13" s="11" t="inlineStr">
        <is>
          <t>1. High Paraphrase &amp; Direct Support Agreement: Direct &amp; paraphrased entailment items were validated as SUPPORTED.</t>
        </is>
      </c>
    </row>
    <row r="14">
      <c r="A14" s="11" t="inlineStr">
        <is>
          <t>2. Strict Evidence Snip Rule: Claims addressing topics completely outside the supplied text (e.g., weather, prices, dog behavior) are categorized as NOT_ENOUGH_INFORMATION.</t>
        </is>
      </c>
    </row>
    <row r="15">
      <c r="A15" s="11" t="inlineStr">
        <is>
          <t>3. Partial vs Unstated Features: Items with only a subset of assertions evidenced in the excerpt (e.g. Row 8 &amp; 16) are classified as PARTIALLY_SUPPORTED.</t>
        </is>
      </c>
    </row>
    <row r="16">
      <c r="A16" s="11" t="inlineStr">
        <is>
          <t>4. Explicit Conflict Detection: Claims directly denying explicit facts in the evidence (e.g., flat roofs vs slanting, without wood vs with wood) are verified as CONTRADICTED.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showGridLines="1" workbookViewId="0">
      <pane ySplit="1" topLeftCell="A2" activePane="bottomLeft" state="frozen"/>
      <selection pane="bottomLeft" activeCell="A1" sqref="A1"/>
    </sheetView>
  </sheetViews>
  <sheetFormatPr baseColWidth="8" defaultRowHeight="15"/>
  <cols>
    <col width="22" customWidth="1" min="1" max="1"/>
    <col width="12" customWidth="1" min="2" max="2"/>
    <col width="35" customWidth="1" min="3" max="3"/>
    <col width="45" customWidth="1" min="4" max="4"/>
    <col width="20" customWidth="1" min="5" max="5"/>
    <col width="18" customWidth="1" min="6" max="6"/>
    <col width="18" customWidth="1" min="7" max="7"/>
    <col width="16" customWidth="1" min="8" max="8"/>
    <col width="14" customWidth="1" min="9" max="9"/>
    <col width="35" customWidth="1" min="10" max="10"/>
    <col width="28" customWidth="1" min="11" max="11"/>
    <col width="16" customWidth="1" min="12" max="12"/>
    <col width="45" customWidth="1" min="13" max="13"/>
  </cols>
  <sheetData>
    <row r="1">
      <c r="A1" s="3" t="inlineStr">
        <is>
          <t>category</t>
        </is>
      </c>
      <c r="B1" s="3" t="inlineStr">
        <is>
          <t>topic</t>
        </is>
      </c>
      <c r="C1" s="3" t="inlineStr">
        <is>
          <t>claim</t>
        </is>
      </c>
      <c r="D1" s="3" t="inlineStr">
        <is>
          <t>evidence</t>
        </is>
      </c>
      <c r="E1" s="3" t="inlineStr">
        <is>
          <t>gold_label</t>
        </is>
      </c>
      <c r="F1" s="3" t="inlineStr">
        <is>
          <t>predicted_label</t>
        </is>
      </c>
      <c r="G1" s="3" t="inlineStr">
        <is>
          <t>nli_contradiction</t>
        </is>
      </c>
      <c r="H1" s="3" t="inlineStr">
        <is>
          <t>nli_entailment</t>
        </is>
      </c>
      <c r="I1" s="3" t="inlineStr">
        <is>
          <t>nli_neutral</t>
        </is>
      </c>
      <c r="J1" s="3" t="inlineStr">
        <is>
          <t>labeling_note</t>
        </is>
      </c>
      <c r="K1" s="3" t="inlineStr">
        <is>
          <t>reviewed_gold_label</t>
        </is>
      </c>
      <c r="L1" s="3" t="inlineStr">
        <is>
          <t>review_status</t>
        </is>
      </c>
      <c r="M1" s="3" t="inlineStr">
        <is>
          <t>review_notes</t>
        </is>
      </c>
    </row>
    <row r="2">
      <c r="A2" s="12" t="inlineStr">
        <is>
          <t>DIRECT_SUPPORT</t>
        </is>
      </c>
      <c r="B2" s="12" t="inlineStr">
        <is>
          <t>weight</t>
        </is>
      </c>
      <c r="C2" s="13" t="inlineStr">
        <is>
          <t>The passage says to compare objects to find which is heavier.</t>
        </is>
      </c>
      <c r="D2" s="13" t="inlineStr">
        <is>
          <t>Make your own balance with the help of a paper cup, thread and a hanger like the one shown here. Now compare any two objects like eraser, ball, bead, pencil, crayon, etc., to see which one is heavier. Let us Do Circle the heaviest one.</t>
        </is>
      </c>
      <c r="E2" s="12" t="inlineStr">
        <is>
          <t>DIRECT_SUPPORT</t>
        </is>
      </c>
      <c r="F2" s="12" t="inlineStr">
        <is>
          <t>ENTAILMENT</t>
        </is>
      </c>
      <c r="G2" s="14" t="n">
        <v>0.006374415941536427</v>
      </c>
      <c r="H2" s="14" t="n">
        <v>0.8597878813743591</v>
      </c>
      <c r="I2" s="14" t="n">
        <v>0.1338376998901367</v>
      </c>
      <c r="J2" s="13" t="inlineStr">
        <is>
          <t>Close wording match to explicit comparison instruction.</t>
        </is>
      </c>
      <c r="K2" s="15" t="inlineStr">
        <is>
          <t>SUPPORTED</t>
        </is>
      </c>
      <c r="L2" s="12" t="inlineStr">
        <is>
          <t>REVIEWED</t>
        </is>
      </c>
      <c r="M2" s="13" t="inlineStr">
        <is>
          <t>Directly entails: The evidence explicitly says 'Now compare any two objects... to see which one is heavier.'</t>
        </is>
      </c>
    </row>
    <row r="3">
      <c r="A3" s="16" t="inlineStr">
        <is>
          <t>DIRECT_SUPPORT</t>
        </is>
      </c>
      <c r="B3" s="16" t="inlineStr">
        <is>
          <t>weight</t>
        </is>
      </c>
      <c r="C3" s="4" t="inlineStr">
        <is>
          <t>The passage mentions a paper cup, thread and a hanger.</t>
        </is>
      </c>
      <c r="D3" s="4" t="inlineStr">
        <is>
          <t>Make your own balance with the help of a paper cup, thread and a hanger like the one shown here. Now compare any two objects like eraser, ball, bead, pencil, crayon, etc., to see which one is heavier. Let us Do Circle the heaviest one.</t>
        </is>
      </c>
      <c r="E3" s="16" t="inlineStr">
        <is>
          <t>DIRECT_SUPPORT</t>
        </is>
      </c>
      <c r="F3" s="16" t="inlineStr">
        <is>
          <t>ENTAILMENT</t>
        </is>
      </c>
      <c r="G3" s="17" t="n">
        <v>0.1324077397584915</v>
      </c>
      <c r="H3" s="17" t="n">
        <v>0.5675835013389587</v>
      </c>
      <c r="I3" s="17" t="n">
        <v>0.3000088036060333</v>
      </c>
      <c r="J3" s="4" t="inlineStr">
        <is>
          <t>All three objects are explicitly named.</t>
        </is>
      </c>
      <c r="K3" s="15" t="inlineStr">
        <is>
          <t>SUPPORTED</t>
        </is>
      </c>
      <c r="L3" s="16" t="inlineStr">
        <is>
          <t>REVIEWED</t>
        </is>
      </c>
      <c r="M3" s="4" t="inlineStr">
        <is>
          <t>Directly entails: All three items ('paper cup', 'thread', 'hanger') are explicitly named in the evidence.</t>
        </is>
      </c>
    </row>
    <row r="4">
      <c r="A4" s="12" t="inlineStr">
        <is>
          <t>DIRECT_SUPPORT</t>
        </is>
      </c>
      <c r="B4" s="12" t="inlineStr">
        <is>
          <t>weight</t>
        </is>
      </c>
      <c r="C4" s="13" t="inlineStr">
        <is>
          <t>The passage tells the reader to make a balance.</t>
        </is>
      </c>
      <c r="D4" s="13" t="inlineStr">
        <is>
          <t>Make your own balance with the help of a paper cup, thread and a hanger like the one shown here. Now compare any two objects like eraser, ball, bead, pencil, crayon, etc., to see which one is heavier. Let us Do Circle the heaviest one.</t>
        </is>
      </c>
      <c r="E4" s="12" t="inlineStr">
        <is>
          <t>DIRECT_SUPPORT</t>
        </is>
      </c>
      <c r="F4" s="12" t="inlineStr">
        <is>
          <t>NEUTRAL</t>
        </is>
      </c>
      <c r="G4" s="14" t="n">
        <v>0.05670084431767464</v>
      </c>
      <c r="H4" s="14" t="n">
        <v>0.1099546700716019</v>
      </c>
      <c r="I4" s="14" t="n">
        <v>0.8333444595336914</v>
      </c>
      <c r="J4" s="13" t="inlineStr">
        <is>
          <t>The passage explicitly says to make a balance.</t>
        </is>
      </c>
      <c r="K4" s="15" t="inlineStr">
        <is>
          <t>SUPPORTED</t>
        </is>
      </c>
      <c r="L4" s="12" t="inlineStr">
        <is>
          <t>REVIEWED</t>
        </is>
      </c>
      <c r="M4" s="13" t="inlineStr">
        <is>
          <t>Directly entails: The evidence explicitly states 'Make your own balance...'</t>
        </is>
      </c>
    </row>
    <row r="5">
      <c r="A5" s="16" t="inlineStr">
        <is>
          <t>DIRECT_SUPPORT</t>
        </is>
      </c>
      <c r="B5" s="16" t="inlineStr">
        <is>
          <t>weight</t>
        </is>
      </c>
      <c r="C5" s="4" t="inlineStr">
        <is>
          <t>The passage says to compare objects such as an eraser and a pencil.</t>
        </is>
      </c>
      <c r="D5" s="4" t="inlineStr">
        <is>
          <t>Make your own balance with the help of a paper cup, thread and a hanger like the one shown here. Now compare any two objects like eraser, ball, bead, pencil, crayon, etc., to see which one is heavier. Let us Do Circle the heaviest one.</t>
        </is>
      </c>
      <c r="E5" s="16" t="inlineStr">
        <is>
          <t>DIRECT_SUPPORT</t>
        </is>
      </c>
      <c r="F5" s="16" t="inlineStr">
        <is>
          <t>ENTAILMENT</t>
        </is>
      </c>
      <c r="G5" s="17" t="n">
        <v>0.05080381035804749</v>
      </c>
      <c r="H5" s="17" t="n">
        <v>0.7087708711624146</v>
      </c>
      <c r="I5" s="17" t="n">
        <v>0.2404253631830215</v>
      </c>
      <c r="J5" s="4" t="inlineStr">
        <is>
          <t>Both objects appear in the examples.</t>
        </is>
      </c>
      <c r="K5" s="15" t="inlineStr">
        <is>
          <t>SUPPORTED</t>
        </is>
      </c>
      <c r="L5" s="16" t="inlineStr">
        <is>
          <t>REVIEWED</t>
        </is>
      </c>
      <c r="M5" s="4" t="inlineStr">
        <is>
          <t>Directly entails: The evidence explicitly lists 'eraser' and 'pencil' among the examples to compare.</t>
        </is>
      </c>
    </row>
    <row r="6">
      <c r="A6" s="12" t="inlineStr">
        <is>
          <t>DIRECT_SUPPORT</t>
        </is>
      </c>
      <c r="B6" s="12" t="inlineStr">
        <is>
          <t>sikkim</t>
        </is>
      </c>
      <c r="C6" s="13" t="inlineStr">
        <is>
          <t>The passage mentions wooden houses with sloping roofs.</t>
        </is>
      </c>
      <c r="D6" s="13" t="inlineStr">
        <is>
          <t>Why do you think traditional houses in Sikkim are built with wood and have slanting roofs? ... Housing: Wooden houses with sloping roofs.</t>
        </is>
      </c>
      <c r="E6" s="12" t="inlineStr">
        <is>
          <t>DIRECT_SUPPORT</t>
        </is>
      </c>
      <c r="F6" s="12" t="inlineStr">
        <is>
          <t>ENTAILMENT</t>
        </is>
      </c>
      <c r="G6" s="14" t="n">
        <v>0.0003402731090318412</v>
      </c>
      <c r="H6" s="14" t="n">
        <v>0.9961328506469727</v>
      </c>
      <c r="I6" s="14" t="n">
        <v>0.00352692068554461</v>
      </c>
      <c r="J6" s="13" t="inlineStr">
        <is>
          <t>Close wording match to the table entry.</t>
        </is>
      </c>
      <c r="K6" s="15" t="inlineStr">
        <is>
          <t>SUPPORTED</t>
        </is>
      </c>
      <c r="L6" s="12" t="inlineStr">
        <is>
          <t>REVIEWED</t>
        </is>
      </c>
      <c r="M6" s="13" t="inlineStr">
        <is>
          <t>Directly entails: The evidence text contains the exact phrase 'Wooden houses with sloping roofs.'</t>
        </is>
      </c>
    </row>
    <row r="7">
      <c r="A7" s="16" t="inlineStr">
        <is>
          <t>DIRECT_SUPPORT</t>
        </is>
      </c>
      <c r="B7" s="16" t="inlineStr">
        <is>
          <t>sikkim</t>
        </is>
      </c>
      <c r="C7" s="4" t="inlineStr">
        <is>
          <t>The passage says traditional houses in Sikkim have slanting roofs.</t>
        </is>
      </c>
      <c r="D7" s="4" t="inlineStr">
        <is>
          <t>Why do you think traditional houses in Sikkim are built with wood and have slanting roofs? ... Housing: Wooden houses with sloping roofs.</t>
        </is>
      </c>
      <c r="E7" s="16" t="inlineStr">
        <is>
          <t>DIRECT_SUPPORT</t>
        </is>
      </c>
      <c r="F7" s="16" t="inlineStr">
        <is>
          <t>ENTAILMENT</t>
        </is>
      </c>
      <c r="G7" s="17" t="n">
        <v>0.001025653909891844</v>
      </c>
      <c r="H7" s="17" t="n">
        <v>0.9914621114730835</v>
      </c>
      <c r="I7" s="17" t="n">
        <v>0.007512307725846767</v>
      </c>
      <c r="J7" s="4" t="inlineStr">
        <is>
          <t>The question explicitly mentions Sikkim and slanting roofs.</t>
        </is>
      </c>
      <c r="K7" s="15" t="inlineStr">
        <is>
          <t>SUPPORTED</t>
        </is>
      </c>
      <c r="L7" s="16" t="inlineStr">
        <is>
          <t>REVIEWED</t>
        </is>
      </c>
      <c r="M7" s="4" t="inlineStr">
        <is>
          <t>Directly entails: The evidence poses 'Why do you think traditional houses in Sikkim are built with wood and have slanting roofs?', confirming traditional houses in Sikkim have slanting roofs.</t>
        </is>
      </c>
    </row>
    <row r="8">
      <c r="A8" s="12" t="inlineStr">
        <is>
          <t>DIRECT_SUPPORT</t>
        </is>
      </c>
      <c r="B8" s="12" t="inlineStr">
        <is>
          <t>sikkim</t>
        </is>
      </c>
      <c r="C8" s="13" t="inlineStr">
        <is>
          <t>The passage mentions wood as a material used in traditional houses in Sikkim.</t>
        </is>
      </c>
      <c r="D8" s="13" t="inlineStr">
        <is>
          <t>Why do you think traditional houses in Sikkim are built with wood and have slanting roofs? ... Housing: Wooden houses with sloping roofs.</t>
        </is>
      </c>
      <c r="E8" s="12" t="inlineStr">
        <is>
          <t>DIRECT_SUPPORT</t>
        </is>
      </c>
      <c r="F8" s="12" t="inlineStr">
        <is>
          <t>ENTAILMENT</t>
        </is>
      </c>
      <c r="G8" s="14" t="n">
        <v>0.0003331194457132369</v>
      </c>
      <c r="H8" s="14" t="n">
        <v>0.9955562949180603</v>
      </c>
      <c r="I8" s="14" t="n">
        <v>0.004110648762434721</v>
      </c>
      <c r="J8" s="13" t="inlineStr">
        <is>
          <t>The passage explicitly says houses are built with wood.</t>
        </is>
      </c>
      <c r="K8" s="15" t="inlineStr">
        <is>
          <t>SUPPORTED</t>
        </is>
      </c>
      <c r="L8" s="12" t="inlineStr">
        <is>
          <t>REVIEWED</t>
        </is>
      </c>
      <c r="M8" s="13" t="inlineStr">
        <is>
          <t>Directly entails: The evidence explicitly states traditional houses in Sikkim are 'built with wood'.</t>
        </is>
      </c>
    </row>
    <row r="9">
      <c r="A9" s="16" t="inlineStr">
        <is>
          <t>DIRECT_SUPPORT</t>
        </is>
      </c>
      <c r="B9" s="16" t="inlineStr">
        <is>
          <t>sikkim</t>
        </is>
      </c>
      <c r="C9" s="4" t="inlineStr">
        <is>
          <t>The passage includes a description of housing in different regions.</t>
        </is>
      </c>
      <c r="D9" s="4" t="inlineStr">
        <is>
          <t>Why do you think traditional houses in Sikkim are built with wood and have slanting roofs? ... Housing: Wooden houses with sloping roofs.</t>
        </is>
      </c>
      <c r="E9" s="16" t="inlineStr">
        <is>
          <t>DIRECT_SUPPORT</t>
        </is>
      </c>
      <c r="F9" s="16" t="inlineStr">
        <is>
          <t>ENTAILMENT</t>
        </is>
      </c>
      <c r="G9" s="17" t="n">
        <v>0.0007910693529993296</v>
      </c>
      <c r="H9" s="17" t="n">
        <v>0.9882385730743408</v>
      </c>
      <c r="I9" s="17" t="n">
        <v>0.01097027584910393</v>
      </c>
      <c r="J9" s="4" t="inlineStr">
        <is>
          <t>The excerpt contains a housing category and regional comparison.</t>
        </is>
      </c>
      <c r="K9" s="18" t="inlineStr">
        <is>
          <t>PARTIALLY_SUPPORTED</t>
        </is>
      </c>
      <c r="L9" s="16" t="inlineStr">
        <is>
          <t>REVIEWED</t>
        </is>
      </c>
      <c r="M9" s="4" t="inlineStr">
        <is>
          <t>Partially entails: The evidence describes housing in Sikkim ('Wooden houses with sloping roofs'), but does not show descriptions across multiple/different regions.</t>
        </is>
      </c>
    </row>
    <row r="10">
      <c r="A10" s="12" t="inlineStr">
        <is>
          <t>PARAPHRASED_SUPPORT</t>
        </is>
      </c>
      <c r="B10" s="12" t="inlineStr">
        <is>
          <t>weight</t>
        </is>
      </c>
      <c r="C10" s="13" t="inlineStr">
        <is>
          <t>The textbook suggests weighing two items against each other to find the heavier one.</t>
        </is>
      </c>
      <c r="D10" s="13" t="inlineStr">
        <is>
          <t>Make your own balance with the help of a paper cup, thread and a hanger like the one shown here. Now compare any two objects like eraser, ball, bead, pencil, crayon, etc., to see which one is heavier. Let us Do Circle the heaviest one.</t>
        </is>
      </c>
      <c r="E10" s="12" t="inlineStr">
        <is>
          <t>PARAPHRASED_SUPPORT</t>
        </is>
      </c>
      <c r="F10" s="12" t="inlineStr">
        <is>
          <t>NEUTRAL</t>
        </is>
      </c>
      <c r="G10" s="14" t="n">
        <v>0.03146674856543541</v>
      </c>
      <c r="H10" s="14" t="n">
        <v>0.001372807426378131</v>
      </c>
      <c r="I10" s="14" t="n">
        <v>0.9671604633331299</v>
      </c>
      <c r="J10" s="13" t="inlineStr">
        <is>
          <t>Paraphrases the comparison instruction; does not name a specific winner.</t>
        </is>
      </c>
      <c r="K10" s="15" t="inlineStr">
        <is>
          <t>SUPPORTED</t>
        </is>
      </c>
      <c r="L10" s="12" t="inlineStr">
        <is>
          <t>REVIEWED</t>
        </is>
      </c>
      <c r="M10" s="13" t="inlineStr">
        <is>
          <t>Paraphrase entails: 'weighing two items against each other to find the heavier one' faithfully captures making a balance and comparing two objects to see which is heavier.</t>
        </is>
      </c>
    </row>
    <row r="11">
      <c r="A11" s="16" t="inlineStr">
        <is>
          <t>PARAPHRASED_SUPPORT</t>
        </is>
      </c>
      <c r="B11" s="16" t="inlineStr">
        <is>
          <t>weight</t>
        </is>
      </c>
      <c r="C11" s="4" t="inlineStr">
        <is>
          <t>A homemade balance can help a child compare the weight of two things.</t>
        </is>
      </c>
      <c r="D11" s="4" t="inlineStr">
        <is>
          <t>Make your own balance with the help of a paper cup, thread and a hanger like the one shown here. Now compare any two objects like eraser, ball, bead, pencil, crayon, etc., to see which one is heavier. Let us Do Circle the heaviest one.</t>
        </is>
      </c>
      <c r="E11" s="16" t="inlineStr">
        <is>
          <t>PARAPHRASED_SUPPORT</t>
        </is>
      </c>
      <c r="F11" s="16" t="inlineStr">
        <is>
          <t>ENTAILMENT</t>
        </is>
      </c>
      <c r="G11" s="17" t="n">
        <v>0.003452239325270057</v>
      </c>
      <c r="H11" s="17" t="n">
        <v>0.6488475203514099</v>
      </c>
      <c r="I11" s="17" t="n">
        <v>0.3477003276348114</v>
      </c>
      <c r="J11" s="4" t="inlineStr">
        <is>
          <t>Paraphrases making and using a balance.</t>
        </is>
      </c>
      <c r="K11" s="15" t="inlineStr">
        <is>
          <t>SUPPORTED</t>
        </is>
      </c>
      <c r="L11" s="16" t="inlineStr">
        <is>
          <t>REVIEWED</t>
        </is>
      </c>
      <c r="M11" s="4" t="inlineStr">
        <is>
          <t>Paraphrase entails: The passage instructs making a balance (from a cup, thread, hanger) to compare objects to see which is heavier.</t>
        </is>
      </c>
    </row>
    <row r="12">
      <c r="A12" s="12" t="inlineStr">
        <is>
          <t>PARAPHRASED_SUPPORT</t>
        </is>
      </c>
      <c r="B12" s="12" t="inlineStr">
        <is>
          <t>weight</t>
        </is>
      </c>
      <c r="C12" s="13" t="inlineStr">
        <is>
          <t>A child can use a balance made from a cup, string and a hanger.</t>
        </is>
      </c>
      <c r="D12" s="13" t="inlineStr">
        <is>
          <t>Make your own balance with the help of a paper cup, thread and a hanger like the one shown here. Now compare any two objects like eraser, ball, bead, pencil, crayon, etc., to see which one is heavier. Let us Do Circle the heaviest one.</t>
        </is>
      </c>
      <c r="E12" s="12" t="inlineStr">
        <is>
          <t>PARAPHRASED_SUPPORT</t>
        </is>
      </c>
      <c r="F12" s="12" t="inlineStr">
        <is>
          <t>NEUTRAL</t>
        </is>
      </c>
      <c r="G12" s="14" t="n">
        <v>0.005392230115830898</v>
      </c>
      <c r="H12" s="14" t="n">
        <v>0.1407105773687363</v>
      </c>
      <c r="I12" s="14" t="n">
        <v>0.8538971543312073</v>
      </c>
      <c r="J12" s="13" t="inlineStr">
        <is>
          <t>String is a paraphrase of thread; wording differs.</t>
        </is>
      </c>
      <c r="K12" s="15" t="inlineStr">
        <is>
          <t>SUPPORTED</t>
        </is>
      </c>
      <c r="L12" s="12" t="inlineStr">
        <is>
          <t>REVIEWED</t>
        </is>
      </c>
      <c r="M12" s="13" t="inlineStr">
        <is>
          <t>Paraphrase entails: 'string' is a direct paraphrase for 'thread', and cup/hanger/balance are explicitly in the text.</t>
        </is>
      </c>
    </row>
    <row r="13">
      <c r="A13" s="16" t="inlineStr">
        <is>
          <t>PARAPHRASED_SUPPORT</t>
        </is>
      </c>
      <c r="B13" s="16" t="inlineStr">
        <is>
          <t>weight</t>
        </is>
      </c>
      <c r="C13" s="4" t="inlineStr">
        <is>
          <t>The passage asks children to identify which object is heavier.</t>
        </is>
      </c>
      <c r="D13" s="4" t="inlineStr">
        <is>
          <t>Make your own balance with the help of a paper cup, thread and a hanger like the one shown here. Now compare any two objects like eraser, ball, bead, pencil, crayon, etc., to see which one is heavier. Let us Do Circle the heaviest one.</t>
        </is>
      </c>
      <c r="E13" s="16" t="inlineStr">
        <is>
          <t>PARAPHRASED_SUPPORT</t>
        </is>
      </c>
      <c r="F13" s="16" t="inlineStr">
        <is>
          <t>NEUTRAL</t>
        </is>
      </c>
      <c r="G13" s="17" t="n">
        <v>0.05000966414809227</v>
      </c>
      <c r="H13" s="17" t="n">
        <v>0.3400389552116394</v>
      </c>
      <c r="I13" s="17" t="n">
        <v>0.609951376914978</v>
      </c>
      <c r="J13" s="4" t="inlineStr">
        <is>
          <t>Paraphrases the stated learning task.</t>
        </is>
      </c>
      <c r="K13" s="15" t="inlineStr">
        <is>
          <t>SUPPORTED</t>
        </is>
      </c>
      <c r="L13" s="16" t="inlineStr">
        <is>
          <t>REVIEWED</t>
        </is>
      </c>
      <c r="M13" s="4" t="inlineStr">
        <is>
          <t>Paraphrase entails: The text asks to compare objects to see which one is heavier and circle the heaviest one.</t>
        </is>
      </c>
    </row>
    <row r="14">
      <c r="A14" s="12" t="inlineStr">
        <is>
          <t>PARAPHRASED_SUPPORT</t>
        </is>
      </c>
      <c r="B14" s="12" t="inlineStr">
        <is>
          <t>sikkim</t>
        </is>
      </c>
      <c r="C14" s="13" t="inlineStr">
        <is>
          <t>Traditional homes in Sikkim are described as having sloping roofs.</t>
        </is>
      </c>
      <c r="D14" s="13" t="inlineStr">
        <is>
          <t>Why do you think traditional houses in Sikkim are built with wood and have slanting roofs? ... Housing: Wooden houses with sloping roofs.</t>
        </is>
      </c>
      <c r="E14" s="12" t="inlineStr">
        <is>
          <t>PARAPHRASED_SUPPORT</t>
        </is>
      </c>
      <c r="F14" s="12" t="inlineStr">
        <is>
          <t>ENTAILMENT</t>
        </is>
      </c>
      <c r="G14" s="14" t="n">
        <v>0.0003068509104195982</v>
      </c>
      <c r="H14" s="14" t="n">
        <v>0.9966895580291748</v>
      </c>
      <c r="I14" s="14" t="n">
        <v>0.003003510879352689</v>
      </c>
      <c r="J14" s="13" t="inlineStr">
        <is>
          <t>Equivalent wording for slanting/sloping roofs.</t>
        </is>
      </c>
      <c r="K14" s="15" t="inlineStr">
        <is>
          <t>SUPPORTED</t>
        </is>
      </c>
      <c r="L14" s="12" t="inlineStr">
        <is>
          <t>REVIEWED</t>
        </is>
      </c>
      <c r="M14" s="13" t="inlineStr">
        <is>
          <t>Paraphrase entails: The evidence explicitly notes traditional houses in Sikkim have slanting/sloping roofs.</t>
        </is>
      </c>
    </row>
    <row r="15">
      <c r="A15" s="16" t="inlineStr">
        <is>
          <t>PARAPHRASED_SUPPORT</t>
        </is>
      </c>
      <c r="B15" s="16" t="inlineStr">
        <is>
          <t>sikkim</t>
        </is>
      </c>
      <c r="C15" s="4" t="inlineStr">
        <is>
          <t>Wood is mentioned as a building material for traditional Sikkim houses.</t>
        </is>
      </c>
      <c r="D15" s="4" t="inlineStr">
        <is>
          <t>Why do you think traditional houses in Sikkim are built with wood and have slanting roofs? ... Housing: Wooden houses with sloping roofs.</t>
        </is>
      </c>
      <c r="E15" s="16" t="inlineStr">
        <is>
          <t>PARAPHRASED_SUPPORT</t>
        </is>
      </c>
      <c r="F15" s="16" t="inlineStr">
        <is>
          <t>ENTAILMENT</t>
        </is>
      </c>
      <c r="G15" s="17" t="n">
        <v>0.0005677512963302433</v>
      </c>
      <c r="H15" s="17" t="n">
        <v>0.9923426508903503</v>
      </c>
      <c r="I15" s="17" t="n">
        <v>0.007089599501341581</v>
      </c>
      <c r="J15" s="4" t="inlineStr">
        <is>
          <t>Paraphrase of the explicit statement.</t>
        </is>
      </c>
      <c r="K15" s="15" t="inlineStr">
        <is>
          <t>SUPPORTED</t>
        </is>
      </c>
      <c r="L15" s="16" t="inlineStr">
        <is>
          <t>REVIEWED</t>
        </is>
      </c>
      <c r="M15" s="4" t="inlineStr">
        <is>
          <t>Paraphrase entails: Directly conveys the text's assertion that traditional houses in Sikkim are built with wood.</t>
        </is>
      </c>
    </row>
    <row r="16">
      <c r="A16" s="12" t="inlineStr">
        <is>
          <t>PARAPHRASED_SUPPORT</t>
        </is>
      </c>
      <c r="B16" s="12" t="inlineStr">
        <is>
          <t>sikkim</t>
        </is>
      </c>
      <c r="C16" s="13" t="inlineStr">
        <is>
          <t>The passage connects Sikkim's traditional housing with wooden construction.</t>
        </is>
      </c>
      <c r="D16" s="13" t="inlineStr">
        <is>
          <t>Why do you think traditional houses in Sikkim are built with wood and have slanting roofs? ... Housing: Wooden houses with sloping roofs.</t>
        </is>
      </c>
      <c r="E16" s="12" t="inlineStr">
        <is>
          <t>PARAPHRASED_SUPPORT</t>
        </is>
      </c>
      <c r="F16" s="12" t="inlineStr">
        <is>
          <t>ENTAILMENT</t>
        </is>
      </c>
      <c r="G16" s="14" t="n">
        <v>0.001065488206222653</v>
      </c>
      <c r="H16" s="14" t="n">
        <v>0.9904959201812744</v>
      </c>
      <c r="I16" s="14" t="n">
        <v>0.008438538759946823</v>
      </c>
      <c r="J16" s="13" t="inlineStr">
        <is>
          <t>Meaning-preserving paraphrase.</t>
        </is>
      </c>
      <c r="K16" s="15" t="inlineStr">
        <is>
          <t>SUPPORTED</t>
        </is>
      </c>
      <c r="L16" s="12" t="inlineStr">
        <is>
          <t>REVIEWED</t>
        </is>
      </c>
      <c r="M16" s="13" t="inlineStr">
        <is>
          <t>Paraphrase entails: Faithfully captures the text's explicit link between Sikkim's traditional houses and wooden construction.</t>
        </is>
      </c>
    </row>
    <row r="17">
      <c r="A17" s="16" t="inlineStr">
        <is>
          <t>PARAPHRASED_SUPPORT</t>
        </is>
      </c>
      <c r="B17" s="16" t="inlineStr">
        <is>
          <t>sikkim</t>
        </is>
      </c>
      <c r="C17" s="4" t="inlineStr">
        <is>
          <t>The housing comparison lists wooden houses with sloping roofs.</t>
        </is>
      </c>
      <c r="D17" s="4" t="inlineStr">
        <is>
          <t>Why do you think traditional houses in Sikkim are built with wood and have slanting roofs? ... Housing: Wooden houses with sloping roofs.</t>
        </is>
      </c>
      <c r="E17" s="16" t="inlineStr">
        <is>
          <t>PARAPHRASED_SUPPORT</t>
        </is>
      </c>
      <c r="F17" s="16" t="inlineStr">
        <is>
          <t>ENTAILMENT</t>
        </is>
      </c>
      <c r="G17" s="17" t="n">
        <v>0.0002787458070088178</v>
      </c>
      <c r="H17" s="17" t="n">
        <v>0.9837033748626709</v>
      </c>
      <c r="I17" s="17" t="n">
        <v>0.0160178616642952</v>
      </c>
      <c r="J17" s="4" t="inlineStr">
        <is>
          <t>Paraphrase of the table entry.</t>
        </is>
      </c>
      <c r="K17" s="18" t="inlineStr">
        <is>
          <t>PARTIALLY_SUPPORTED</t>
        </is>
      </c>
      <c r="L17" s="16" t="inlineStr">
        <is>
          <t>REVIEWED</t>
        </is>
      </c>
      <c r="M17" s="4" t="inlineStr">
        <is>
          <t>Partially entails: The excerpt lists 'Housing: Wooden houses with sloping roofs', but does not show a multi-region comparison table in the provided text snippet.</t>
        </is>
      </c>
    </row>
    <row r="18">
      <c r="A18" s="12" t="inlineStr">
        <is>
          <t>PARTIAL_SUPPORT</t>
        </is>
      </c>
      <c r="B18" s="12" t="inlineStr">
        <is>
          <t>weight</t>
        </is>
      </c>
      <c r="C18" s="13" t="inlineStr">
        <is>
          <t>The passage tells us which of a pumpkin and a watermelon is heavier.</t>
        </is>
      </c>
      <c r="D18" s="13" t="inlineStr">
        <is>
          <t>Make your own balance with the help of a paper cup, thread and a hanger like the one shown here. Now compare any two objects like eraser, ball, bead, pencil, crayon, etc., to see which one is heavier. Let us Do Circle the heaviest one.</t>
        </is>
      </c>
      <c r="E18" s="12" t="inlineStr">
        <is>
          <t>PARTIAL_SUPPORT</t>
        </is>
      </c>
      <c r="F18" s="12" t="inlineStr">
        <is>
          <t>NEUTRAL</t>
        </is>
      </c>
      <c r="G18" s="14" t="n">
        <v>0.01185439992696047</v>
      </c>
      <c r="H18" s="14" t="n">
        <v>0.0001003758661681786</v>
      </c>
      <c r="I18" s="14" t="n">
        <v>0.9880452752113342</v>
      </c>
      <c r="J18" s="13" t="inlineStr">
        <is>
          <t>The wider textbook passage poses this as a discussion question; this excerpt does not state the winner.</t>
        </is>
      </c>
      <c r="K18" s="19" t="inlineStr">
        <is>
          <t>NOT_ENOUGH_INFORMATION</t>
        </is>
      </c>
      <c r="L18" s="12" t="inlineStr">
        <is>
          <t>REVIEWED</t>
        </is>
      </c>
      <c r="M18" s="13" t="inlineStr">
        <is>
          <t>Neither established nor contradicted: Pumpkins and watermelons are not mentioned anywhere in the supplied evidence.</t>
        </is>
      </c>
    </row>
    <row r="19">
      <c r="A19" s="16" t="inlineStr">
        <is>
          <t>PARTIAL_SUPPORT</t>
        </is>
      </c>
      <c r="B19" s="16" t="inlineStr">
        <is>
          <t>weight</t>
        </is>
      </c>
      <c r="C19" s="4" t="inlineStr">
        <is>
          <t>The passage gives the exact weight of a pencil in grams.</t>
        </is>
      </c>
      <c r="D19" s="4" t="inlineStr">
        <is>
          <t>Make your own balance with the help of a paper cup, thread and a hanger like the one shown here. Now compare any two objects like eraser, ball, bead, pencil, crayon, etc., to see which one is heavier. Let us Do Circle the heaviest one.</t>
        </is>
      </c>
      <c r="E19" s="16" t="inlineStr">
        <is>
          <t>PARTIAL_SUPPORT</t>
        </is>
      </c>
      <c r="F19" s="16" t="inlineStr">
        <is>
          <t>CONTRADICTION</t>
        </is>
      </c>
      <c r="G19" s="17" t="n">
        <v>0.9290887117385864</v>
      </c>
      <c r="H19" s="17" t="n">
        <v>0.0005633383407257497</v>
      </c>
      <c r="I19" s="17" t="n">
        <v>0.07034802436828613</v>
      </c>
      <c r="J19" s="4" t="inlineStr">
        <is>
          <t>A pencil is mentioned, but no measurement is provided.</t>
        </is>
      </c>
      <c r="K19" s="19" t="inlineStr">
        <is>
          <t>NOT_ENOUGH_INFORMATION</t>
        </is>
      </c>
      <c r="L19" s="16" t="inlineStr">
        <is>
          <t>REVIEWED</t>
        </is>
      </c>
      <c r="M19" s="4" t="inlineStr">
        <is>
          <t>Neither established nor contradicted: A pencil is mentioned as an example object, but no gram weight or measurement is given or contradicted.</t>
        </is>
      </c>
    </row>
    <row r="20">
      <c r="A20" s="12" t="inlineStr">
        <is>
          <t>PARTIAL_SUPPORT</t>
        </is>
      </c>
      <c r="B20" s="12" t="inlineStr">
        <is>
          <t>weight</t>
        </is>
      </c>
      <c r="C20" s="13" t="inlineStr">
        <is>
          <t>The passage proves that every large object is heavier than every small object.</t>
        </is>
      </c>
      <c r="D20" s="13" t="inlineStr">
        <is>
          <t>Make your own balance with the help of a paper cup, thread and a hanger like the one shown here. Now compare any two objects like eraser, ball, bead, pencil, crayon, etc., to see which one is heavier. Let us Do Circle the heaviest one.</t>
        </is>
      </c>
      <c r="E20" s="12" t="inlineStr">
        <is>
          <t>PARTIAL_SUPPORT</t>
        </is>
      </c>
      <c r="F20" s="12" t="inlineStr">
        <is>
          <t>CONTRADICTION</t>
        </is>
      </c>
      <c r="G20" s="14" t="n">
        <v>0.8090639710426331</v>
      </c>
      <c r="H20" s="14" t="n">
        <v>0.0004650719929486513</v>
      </c>
      <c r="I20" s="14" t="n">
        <v>0.1904710233211517</v>
      </c>
      <c r="J20" s="13" t="inlineStr">
        <is>
          <t>It discusses comparing objects but does not establish this general rule.</t>
        </is>
      </c>
      <c r="K20" s="19" t="inlineStr">
        <is>
          <t>NOT_ENOUGH_INFORMATION</t>
        </is>
      </c>
      <c r="L20" s="12" t="inlineStr">
        <is>
          <t>REVIEWED</t>
        </is>
      </c>
      <c r="M20" s="13" t="inlineStr">
        <is>
          <t>Neither established nor contradicted: The evidence does not address, establish, or disprove the universal statement that every large object is heavier than every small object.</t>
        </is>
      </c>
    </row>
    <row r="21">
      <c r="A21" s="16" t="inlineStr">
        <is>
          <t>PARTIAL_SUPPORT</t>
        </is>
      </c>
      <c r="B21" s="16" t="inlineStr">
        <is>
          <t>weight</t>
        </is>
      </c>
      <c r="C21" s="4" t="inlineStr">
        <is>
          <t>The passage gives a complete list of all tools needed to build a balance.</t>
        </is>
      </c>
      <c r="D21" s="4" t="inlineStr">
        <is>
          <t>Make your own balance with the help of a paper cup, thread and a hanger like the one shown here. Now compare any two objects like eraser, ball, bead, pencil, crayon, etc., to see which one is heavier. Let us Do Circle the heaviest one.</t>
        </is>
      </c>
      <c r="E21" s="16" t="inlineStr">
        <is>
          <t>PARTIAL_SUPPORT</t>
        </is>
      </c>
      <c r="F21" s="16" t="inlineStr">
        <is>
          <t>CONTRADICTION</t>
        </is>
      </c>
      <c r="G21" s="17" t="n">
        <v>0.9878101348876953</v>
      </c>
      <c r="H21" s="17" t="n">
        <v>0.0004965318366885185</v>
      </c>
      <c r="I21" s="17" t="n">
        <v>0.01169327925890684</v>
      </c>
      <c r="J21" s="4" t="inlineStr">
        <is>
          <t>Some materials are named; completeness is not established by this excerpt.</t>
        </is>
      </c>
      <c r="K21" s="19" t="inlineStr">
        <is>
          <t>NOT_ENOUGH_INFORMATION</t>
        </is>
      </c>
      <c r="L21" s="16" t="inlineStr">
        <is>
          <t>REVIEWED</t>
        </is>
      </c>
      <c r="M21" s="4" t="inlineStr">
        <is>
          <t>Neither established nor contradicted: While some materials are named, the text neither claims this is an exhaustive/complete list of all tools nor contradicts it.</t>
        </is>
      </c>
    </row>
    <row r="22">
      <c r="A22" s="12" t="inlineStr">
        <is>
          <t>PARTIAL_SUPPORT</t>
        </is>
      </c>
      <c r="B22" s="12" t="inlineStr">
        <is>
          <t>sikkim</t>
        </is>
      </c>
      <c r="C22" s="13" t="inlineStr">
        <is>
          <t>The passage explains why Sikkim's traditional houses have sloping roofs.</t>
        </is>
      </c>
      <c r="D22" s="13" t="inlineStr">
        <is>
          <t>Why do you think traditional houses in Sikkim are built with wood and have slanting roofs? ... Housing: Wooden houses with sloping roofs.</t>
        </is>
      </c>
      <c r="E22" s="12" t="inlineStr">
        <is>
          <t>PARTIAL_SUPPORT</t>
        </is>
      </c>
      <c r="F22" s="12" t="inlineStr">
        <is>
          <t>ENTAILMENT</t>
        </is>
      </c>
      <c r="G22" s="14" t="n">
        <v>0.004009434953331947</v>
      </c>
      <c r="H22" s="14" t="n">
        <v>0.9819610118865967</v>
      </c>
      <c r="I22" s="14" t="n">
        <v>0.01402954198420048</v>
      </c>
      <c r="J22" s="13" t="inlineStr">
        <is>
          <t>It raises the question and states the feature, but this evidence does not explain why.</t>
        </is>
      </c>
      <c r="K22" s="19" t="inlineStr">
        <is>
          <t>NOT_ENOUGH_INFORMATION</t>
        </is>
      </c>
      <c r="L22" s="12" t="inlineStr">
        <is>
          <t>REVIEWED</t>
        </is>
      </c>
      <c r="M22" s="13" t="inlineStr">
        <is>
          <t>Neither established nor contradicted: The text asks *why* they have slanting roofs ('Why do you think...'), but provides no explanation or answer in the excerpt.</t>
        </is>
      </c>
    </row>
    <row r="23">
      <c r="A23" s="16" t="inlineStr">
        <is>
          <t>PARTIAL_SUPPORT</t>
        </is>
      </c>
      <c r="B23" s="16" t="inlineStr">
        <is>
          <t>sikkim</t>
        </is>
      </c>
      <c r="C23" s="4" t="inlineStr">
        <is>
          <t>The passage proves that all houses in Sikkim are made entirely of wood.</t>
        </is>
      </c>
      <c r="D23" s="4" t="inlineStr">
        <is>
          <t>Why do you think traditional houses in Sikkim are built with wood and have slanting roofs? ... Housing: Wooden houses with sloping roofs.</t>
        </is>
      </c>
      <c r="E23" s="16" t="inlineStr">
        <is>
          <t>PARTIAL_SUPPORT</t>
        </is>
      </c>
      <c r="F23" s="16" t="inlineStr">
        <is>
          <t>CONTRADICTION</t>
        </is>
      </c>
      <c r="G23" s="17" t="n">
        <v>0.9827345013618469</v>
      </c>
      <c r="H23" s="17" t="n">
        <v>0.0006257858476601541</v>
      </c>
      <c r="I23" s="17" t="n">
        <v>0.01663969457149506</v>
      </c>
      <c r="J23" s="4" t="inlineStr">
        <is>
          <t>It describes traditional houses; the universal and entirely-wood claim goes beyond it.</t>
        </is>
      </c>
      <c r="K23" s="19" t="inlineStr">
        <is>
          <t>NOT_ENOUGH_INFORMATION</t>
        </is>
      </c>
      <c r="L23" s="16" t="inlineStr">
        <is>
          <t>REVIEWED</t>
        </is>
      </c>
      <c r="M23" s="4" t="inlineStr">
        <is>
          <t>Neither established nor contradicted: The text mentions traditional houses built with wood, but neither proves nor disproves whether all houses in Sikkim are made entirely of wood.</t>
        </is>
      </c>
    </row>
    <row r="24">
      <c r="A24" s="12" t="inlineStr">
        <is>
          <t>PARTIAL_SUPPORT</t>
        </is>
      </c>
      <c r="B24" s="12" t="inlineStr">
        <is>
          <t>sikkim</t>
        </is>
      </c>
      <c r="C24" s="13" t="inlineStr">
        <is>
          <t>The passage says sloping roofs prevent every landslide.</t>
        </is>
      </c>
      <c r="D24" s="13" t="inlineStr">
        <is>
          <t>Why do you think traditional houses in Sikkim are built with wood and have slanting roofs? ... Housing: Wooden houses with sloping roofs.</t>
        </is>
      </c>
      <c r="E24" s="12" t="inlineStr">
        <is>
          <t>PARTIAL_SUPPORT</t>
        </is>
      </c>
      <c r="F24" s="12" t="inlineStr">
        <is>
          <t>NEUTRAL</t>
        </is>
      </c>
      <c r="G24" s="14" t="n">
        <v>0.002728600986301899</v>
      </c>
      <c r="H24" s="14" t="n">
        <v>0.001386917545460165</v>
      </c>
      <c r="I24" s="14" t="n">
        <v>0.9958844780921936</v>
      </c>
      <c r="J24" s="13" t="inlineStr">
        <is>
          <t>Sloping roofs are mentioned, but this causal claim is not supported.</t>
        </is>
      </c>
      <c r="K24" s="19" t="inlineStr">
        <is>
          <t>NOT_ENOUGH_INFORMATION</t>
        </is>
      </c>
      <c r="L24" s="12" t="inlineStr">
        <is>
          <t>REVIEWED</t>
        </is>
      </c>
      <c r="M24" s="13" t="inlineStr">
        <is>
          <t>Neither established nor contradicted: Landslides are not mentioned at all in the supplied evidence snippet.</t>
        </is>
      </c>
    </row>
    <row r="25">
      <c r="A25" s="16" t="inlineStr">
        <is>
          <t>PARTIAL_SUPPORT</t>
        </is>
      </c>
      <c r="B25" s="16" t="inlineStr">
        <is>
          <t>sikkim</t>
        </is>
      </c>
      <c r="C25" s="4" t="inlineStr">
        <is>
          <t>The passage gives measurements for the angle of Sikkim's roofs.</t>
        </is>
      </c>
      <c r="D25" s="4" t="inlineStr">
        <is>
          <t>Why do you think traditional houses in Sikkim are built with wood and have slanting roofs? ... Housing: Wooden houses with sloping roofs.</t>
        </is>
      </c>
      <c r="E25" s="16" t="inlineStr">
        <is>
          <t>PARTIAL_SUPPORT</t>
        </is>
      </c>
      <c r="F25" s="16" t="inlineStr">
        <is>
          <t>ENTAILMENT</t>
        </is>
      </c>
      <c r="G25" s="17" t="n">
        <v>0.0004669599584303796</v>
      </c>
      <c r="H25" s="17" t="n">
        <v>0.987618088722229</v>
      </c>
      <c r="I25" s="17" t="n">
        <v>0.01191489119082689</v>
      </c>
      <c r="J25" s="4" t="inlineStr">
        <is>
          <t>Roof shape is mentioned, but no angle measurement appears in this evidence.</t>
        </is>
      </c>
      <c r="K25" s="19" t="inlineStr">
        <is>
          <t>NOT_ENOUGH_INFORMATION</t>
        </is>
      </c>
      <c r="L25" s="16" t="inlineStr">
        <is>
          <t>REVIEWED</t>
        </is>
      </c>
      <c r="M25" s="4" t="inlineStr">
        <is>
          <t>Neither established nor contradicted: The text mentions sloping/slanting roofs, but contains no roof angle measurements.</t>
        </is>
      </c>
    </row>
    <row r="26">
      <c r="A26" s="12" t="inlineStr">
        <is>
          <t>CONTRADICTION</t>
        </is>
      </c>
      <c r="B26" s="12" t="inlineStr">
        <is>
          <t>weight</t>
        </is>
      </c>
      <c r="C26" s="13" t="inlineStr">
        <is>
          <t>The passage tells children not to compare two objects to find which is heavier.</t>
        </is>
      </c>
      <c r="D26" s="13" t="inlineStr">
        <is>
          <t>Make your own balance with the help of a paper cup, thread and a hanger like the one shown here. Now compare any two objects like eraser, ball, bead, pencil, crayon, etc., to see which one is heavier. Let us Do Circle the heaviest one.</t>
        </is>
      </c>
      <c r="E26" s="12" t="inlineStr">
        <is>
          <t>CONTRADICTION</t>
        </is>
      </c>
      <c r="F26" s="12" t="inlineStr">
        <is>
          <t>CONTRADICTION</t>
        </is>
      </c>
      <c r="G26" s="14" t="n">
        <v>0.9992871880531311</v>
      </c>
      <c r="H26" s="14" t="n">
        <v>0.0001235405361512676</v>
      </c>
      <c r="I26" s="14" t="n">
        <v>0.0005893255583941936</v>
      </c>
      <c r="J26" s="13" t="inlineStr">
        <is>
          <t>Directly conflicts with the instruction to compare objects.</t>
        </is>
      </c>
      <c r="K26" s="20" t="inlineStr">
        <is>
          <t>CONTRADICTED</t>
        </is>
      </c>
      <c r="L26" s="12" t="inlineStr">
        <is>
          <t>REVIEWED</t>
        </is>
      </c>
      <c r="M26" s="13" t="inlineStr">
        <is>
          <t>Explicit conflict: The evidence explicitly tells children to compare objects ('Now compare any two objects... to see which one is heavier'), directly contradicting 'tells children not to compare'.</t>
        </is>
      </c>
    </row>
    <row r="27">
      <c r="A27" s="16" t="inlineStr">
        <is>
          <t>CONTRADICTION</t>
        </is>
      </c>
      <c r="B27" s="16" t="inlineStr">
        <is>
          <t>weight</t>
        </is>
      </c>
      <c r="C27" s="4" t="inlineStr">
        <is>
          <t>The passage says a balance must never be made with a paper cup.</t>
        </is>
      </c>
      <c r="D27" s="4" t="inlineStr">
        <is>
          <t>Make your own balance with the help of a paper cup, thread and a hanger like the one shown here. Now compare any two objects like eraser, ball, bead, pencil, crayon, etc., to see which one is heavier. Let us Do Circle the heaviest one.</t>
        </is>
      </c>
      <c r="E27" s="16" t="inlineStr">
        <is>
          <t>CONTRADICTION</t>
        </is>
      </c>
      <c r="F27" s="16" t="inlineStr">
        <is>
          <t>CONTRADICTION</t>
        </is>
      </c>
      <c r="G27" s="17" t="n">
        <v>0.9996993541717529</v>
      </c>
      <c r="H27" s="17" t="n">
        <v>1.861626151367091e-05</v>
      </c>
      <c r="I27" s="17" t="n">
        <v>0.0002820648660417646</v>
      </c>
      <c r="J27" s="4" t="inlineStr">
        <is>
          <t>Conflicts with the instruction to make a balance using a paper cup.</t>
        </is>
      </c>
      <c r="K27" s="20" t="inlineStr">
        <is>
          <t>CONTRADICTED</t>
        </is>
      </c>
      <c r="L27" s="16" t="inlineStr">
        <is>
          <t>REVIEWED</t>
        </is>
      </c>
      <c r="M27" s="4" t="inlineStr">
        <is>
          <t>Explicit conflict: The text explicitly instructs making a balance 'with the help of a paper cup', directly contradicting 'must never be made with a paper cup'.</t>
        </is>
      </c>
    </row>
    <row r="28">
      <c r="A28" s="12" t="inlineStr">
        <is>
          <t>CONTRADICTION</t>
        </is>
      </c>
      <c r="B28" s="12" t="inlineStr">
        <is>
          <t>weight</t>
        </is>
      </c>
      <c r="C28" s="13" t="inlineStr">
        <is>
          <t>The passage says a hanger is not used when making the balance.</t>
        </is>
      </c>
      <c r="D28" s="13" t="inlineStr">
        <is>
          <t>Make your own balance with the help of a paper cup, thread and a hanger like the one shown here. Now compare any two objects like eraser, ball, bead, pencil, crayon, etc., to see which one is heavier. Let us Do Circle the heaviest one.</t>
        </is>
      </c>
      <c r="E28" s="12" t="inlineStr">
        <is>
          <t>CONTRADICTION</t>
        </is>
      </c>
      <c r="F28" s="12" t="inlineStr">
        <is>
          <t>CONTRADICTION</t>
        </is>
      </c>
      <c r="G28" s="14" t="n">
        <v>0.9991673231124878</v>
      </c>
      <c r="H28" s="14" t="n">
        <v>0.0001052269653882831</v>
      </c>
      <c r="I28" s="14" t="n">
        <v>0.0007275438401848078</v>
      </c>
      <c r="J28" s="13" t="inlineStr">
        <is>
          <t>Conflicts with the named hanger material.</t>
        </is>
      </c>
      <c r="K28" s="20" t="inlineStr">
        <is>
          <t>CONTRADICTED</t>
        </is>
      </c>
      <c r="L28" s="12" t="inlineStr">
        <is>
          <t>REVIEWED</t>
        </is>
      </c>
      <c r="M28" s="13" t="inlineStr">
        <is>
          <t>Explicit conflict: The text explicitly includes 'a hanger' as a material to use, contradicting 'a hanger is not used'.</t>
        </is>
      </c>
    </row>
    <row r="29">
      <c r="A29" s="16" t="inlineStr">
        <is>
          <t>CONTRADICTION</t>
        </is>
      </c>
      <c r="B29" s="16" t="inlineStr">
        <is>
          <t>weight</t>
        </is>
      </c>
      <c r="C29" s="4" t="inlineStr">
        <is>
          <t>The passage instructs children to circle the lightest object only and never identify the heaviest.</t>
        </is>
      </c>
      <c r="D29" s="4" t="inlineStr">
        <is>
          <t>Make your own balance with the help of a paper cup, thread and a hanger like the one shown here. Now compare any two objects like eraser, ball, bead, pencil, crayon, etc., to see which one is heavier. Let us Do Circle the heaviest one.</t>
        </is>
      </c>
      <c r="E29" s="16" t="inlineStr">
        <is>
          <t>CONTRADICTION</t>
        </is>
      </c>
      <c r="F29" s="16" t="inlineStr">
        <is>
          <t>CONTRADICTION</t>
        </is>
      </c>
      <c r="G29" s="17" t="n">
        <v>0.9998692274093628</v>
      </c>
      <c r="H29" s="17" t="n">
        <v>2.121916077157948e-05</v>
      </c>
      <c r="I29" s="17" t="n">
        <v>0.0001094882973120548</v>
      </c>
      <c r="J29" s="4" t="inlineStr">
        <is>
          <t>The passage includes an instruction to circle the heaviest.</t>
        </is>
      </c>
      <c r="K29" s="20" t="inlineStr">
        <is>
          <t>CONTRADICTED</t>
        </is>
      </c>
      <c r="L29" s="16" t="inlineStr">
        <is>
          <t>REVIEWED</t>
        </is>
      </c>
      <c r="M29" s="4" t="inlineStr">
        <is>
          <t>Explicit conflict: The text explicitly instructs 'see which one is heavier' and 'Circle the heaviest one', directly contradicting 'never identify the heaviest'.</t>
        </is>
      </c>
    </row>
    <row r="30">
      <c r="A30" s="12" t="inlineStr">
        <is>
          <t>CONTRADICTION</t>
        </is>
      </c>
      <c r="B30" s="12" t="inlineStr">
        <is>
          <t>sikkim</t>
        </is>
      </c>
      <c r="C30" s="13" t="inlineStr">
        <is>
          <t>The passage says traditional houses in Sikkim have flat roofs, not slanting roofs.</t>
        </is>
      </c>
      <c r="D30" s="13" t="inlineStr">
        <is>
          <t>Why do you think traditional houses in Sikkim are built with wood and have slanting roofs? ... Housing: Wooden houses with sloping roofs.</t>
        </is>
      </c>
      <c r="E30" s="12" t="inlineStr">
        <is>
          <t>CONTRADICTION</t>
        </is>
      </c>
      <c r="F30" s="12" t="inlineStr">
        <is>
          <t>CONTRADICTION</t>
        </is>
      </c>
      <c r="G30" s="14" t="n">
        <v>0.9966946840286255</v>
      </c>
      <c r="H30" s="14" t="n">
        <v>0.002404178958386183</v>
      </c>
      <c r="I30" s="14" t="n">
        <v>0.0009010553476400673</v>
      </c>
      <c r="J30" s="13" t="inlineStr">
        <is>
          <t>Conflicts with the explicit slanting-roof statement.</t>
        </is>
      </c>
      <c r="K30" s="20" t="inlineStr">
        <is>
          <t>CONTRADICTED</t>
        </is>
      </c>
      <c r="L30" s="12" t="inlineStr">
        <is>
          <t>REVIEWED</t>
        </is>
      </c>
      <c r="M30" s="13" t="inlineStr">
        <is>
          <t>Explicit conflict: The evidence explicitly says traditional houses in Sikkim have 'slanting roofs' / 'sloping roofs', contradicting 'flat roofs, not slanting roofs'.</t>
        </is>
      </c>
    </row>
    <row r="31">
      <c r="A31" s="16" t="inlineStr">
        <is>
          <t>CONTRADICTION</t>
        </is>
      </c>
      <c r="B31" s="16" t="inlineStr">
        <is>
          <t>sikkim</t>
        </is>
      </c>
      <c r="C31" s="4" t="inlineStr">
        <is>
          <t>The passage says traditional Sikkim houses are built without wood.</t>
        </is>
      </c>
      <c r="D31" s="4" t="inlineStr">
        <is>
          <t>Why do you think traditional houses in Sikkim are built with wood and have slanting roofs? ... Housing: Wooden houses with sloping roofs.</t>
        </is>
      </c>
      <c r="E31" s="16" t="inlineStr">
        <is>
          <t>CONTRADICTION</t>
        </is>
      </c>
      <c r="F31" s="16" t="inlineStr">
        <is>
          <t>CONTRADICTION</t>
        </is>
      </c>
      <c r="G31" s="17" t="n">
        <v>0.9974687099456787</v>
      </c>
      <c r="H31" s="17" t="n">
        <v>0.001634831423871219</v>
      </c>
      <c r="I31" s="17" t="n">
        <v>0.0008964512962847948</v>
      </c>
      <c r="J31" s="4" t="inlineStr">
        <is>
          <t>Conflicts with the statement that they are built with wood.</t>
        </is>
      </c>
      <c r="K31" s="20" t="inlineStr">
        <is>
          <t>CONTRADICTED</t>
        </is>
      </c>
      <c r="L31" s="16" t="inlineStr">
        <is>
          <t>REVIEWED</t>
        </is>
      </c>
      <c r="M31" s="4" t="inlineStr">
        <is>
          <t>Explicit conflict: The text explicitly says traditional houses are 'built with wood', directly contradicting 'built without wood'.</t>
        </is>
      </c>
    </row>
    <row r="32">
      <c r="A32" s="12" t="inlineStr">
        <is>
          <t>CONTRADICTION</t>
        </is>
      </c>
      <c r="B32" s="12" t="inlineStr">
        <is>
          <t>sikkim</t>
        </is>
      </c>
      <c r="C32" s="13" t="inlineStr">
        <is>
          <t>The passage says wooden houses with sloping roofs are listed under the desert region.</t>
        </is>
      </c>
      <c r="D32" s="13" t="inlineStr">
        <is>
          <t>Why do you think traditional houses in Sikkim are built with wood and have slanting roofs? ... Housing: Wooden houses with sloping roofs.</t>
        </is>
      </c>
      <c r="E32" s="12" t="inlineStr">
        <is>
          <t>CONTRADICTION</t>
        </is>
      </c>
      <c r="F32" s="12" t="inlineStr">
        <is>
          <t>CONTRADICTION</t>
        </is>
      </c>
      <c r="G32" s="14" t="n">
        <v>0.9988859295845032</v>
      </c>
      <c r="H32" s="14" t="n">
        <v>7.478969200747088e-05</v>
      </c>
      <c r="I32" s="14" t="n">
        <v>0.001039268914610147</v>
      </c>
      <c r="J32" s="13" t="inlineStr">
        <is>
          <t>The supplied table entry associates that housing description with the mountains column; verify table layout during review.</t>
        </is>
      </c>
      <c r="K32" s="19" t="inlineStr">
        <is>
          <t>NOT_ENOUGH_INFORMATION</t>
        </is>
      </c>
      <c r="L32" s="12" t="inlineStr">
        <is>
          <t>REVIEWED</t>
        </is>
      </c>
      <c r="M32" s="13" t="inlineStr">
        <is>
          <t>Neither established nor contradicted: The supplied text snippet does not mention a 'desert region' or show the table headings, so this cannot be established or contradicted from the excerpt alone.</t>
        </is>
      </c>
    </row>
    <row r="33">
      <c r="A33" s="16" t="inlineStr">
        <is>
          <t>CONTRADICTION</t>
        </is>
      </c>
      <c r="B33" s="16" t="inlineStr">
        <is>
          <t>sikkim</t>
        </is>
      </c>
      <c r="C33" s="4" t="inlineStr">
        <is>
          <t>The passage explicitly states that traditional houses in Sikkim do not have slanting roofs.</t>
        </is>
      </c>
      <c r="D33" s="4" t="inlineStr">
        <is>
          <t>Why do you think traditional houses in Sikkim are built with wood and have slanting roofs? ... Housing: Wooden houses with sloping roofs.</t>
        </is>
      </c>
      <c r="E33" s="16" t="inlineStr">
        <is>
          <t>CONTRADICTION</t>
        </is>
      </c>
      <c r="F33" s="16" t="inlineStr">
        <is>
          <t>CONTRADICTION</t>
        </is>
      </c>
      <c r="G33" s="17" t="n">
        <v>0.9995942711830139</v>
      </c>
      <c r="H33" s="17" t="n">
        <v>0.000103316742752213</v>
      </c>
      <c r="I33" s="17" t="n">
        <v>0.0003023860626854002</v>
      </c>
      <c r="J33" s="4" t="inlineStr">
        <is>
          <t>Direct negation of the statement in the question.</t>
        </is>
      </c>
      <c r="K33" s="20" t="inlineStr">
        <is>
          <t>CONTRADICTED</t>
        </is>
      </c>
      <c r="L33" s="16" t="inlineStr">
        <is>
          <t>REVIEWED</t>
        </is>
      </c>
      <c r="M33" s="4" t="inlineStr">
        <is>
          <t>Explicit conflict: The text explicitly indicates traditional houses in Sikkim have slanting roofs ('built with wood and have slanting roofs?'), directly contradicting that they 'do not have slanting roofs'.</t>
        </is>
      </c>
    </row>
    <row r="34">
      <c r="A34" s="12" t="inlineStr">
        <is>
          <t>ABSENT_EVIDENCE</t>
        </is>
      </c>
      <c r="B34" s="12" t="inlineStr">
        <is>
          <t>weight</t>
        </is>
      </c>
      <c r="C34" s="13" t="inlineStr">
        <is>
          <t>The passage predicts whether it will rain at a child's house tomorrow.</t>
        </is>
      </c>
      <c r="D34" s="13" t="inlineStr">
        <is>
          <t>Make your own balance with the help of a paper cup, thread and a hanger like the one shown here. Now compare any two objects like eraser, ball, bead, pencil, crayon, etc., to see which one is heavier. Let us Do Circle the heaviest one.</t>
        </is>
      </c>
      <c r="E34" s="12" t="inlineStr">
        <is>
          <t>ABSENT_EVIDENCE</t>
        </is>
      </c>
      <c r="F34" s="12" t="inlineStr">
        <is>
          <t>CONTRADICTION</t>
        </is>
      </c>
      <c r="G34" s="14" t="n">
        <v>0.6371864676475525</v>
      </c>
      <c r="H34" s="14" t="n">
        <v>0.0001126679926528595</v>
      </c>
      <c r="I34" s="14" t="n">
        <v>0.3627008497714996</v>
      </c>
      <c r="J34" s="13" t="inlineStr">
        <is>
          <t>Weather forecasting is absent from this evidence.</t>
        </is>
      </c>
      <c r="K34" s="19" t="inlineStr">
        <is>
          <t>NOT_ENOUGH_INFORMATION</t>
        </is>
      </c>
      <c r="L34" s="12" t="inlineStr">
        <is>
          <t>REVIEWED</t>
        </is>
      </c>
      <c r="M34" s="13" t="inlineStr">
        <is>
          <t>Neither established nor contradicted: Rain and weather forecasting are completely absent from the evidence.</t>
        </is>
      </c>
    </row>
    <row r="35">
      <c r="A35" s="16" t="inlineStr">
        <is>
          <t>ABSENT_EVIDENCE</t>
        </is>
      </c>
      <c r="B35" s="16" t="inlineStr">
        <is>
          <t>weight</t>
        </is>
      </c>
      <c r="C35" s="4" t="inlineStr">
        <is>
          <t>The passage tells us what a child's teacher is thinking right now.</t>
        </is>
      </c>
      <c r="D35" s="4" t="inlineStr">
        <is>
          <t>Make your own balance with the help of a paper cup, thread and a hanger like the one shown here. Now compare any two objects like eraser, ball, bead, pencil, crayon, etc., to see which one is heavier. Let us Do Circle the heaviest one.</t>
        </is>
      </c>
      <c r="E35" s="16" t="inlineStr">
        <is>
          <t>ABSENT_EVIDENCE</t>
        </is>
      </c>
      <c r="F35" s="16" t="inlineStr">
        <is>
          <t>NEUTRAL</t>
        </is>
      </c>
      <c r="G35" s="17" t="n">
        <v>0.01253101602196693</v>
      </c>
      <c r="H35" s="17" t="n">
        <v>0.0005644835182465613</v>
      </c>
      <c r="I35" s="17" t="n">
        <v>0.9869044423103333</v>
      </c>
      <c r="J35" s="4" t="inlineStr">
        <is>
          <t>A person's private thoughts are not covered.</t>
        </is>
      </c>
      <c r="K35" s="19" t="inlineStr">
        <is>
          <t>NOT_ENOUGH_INFORMATION</t>
        </is>
      </c>
      <c r="L35" s="16" t="inlineStr">
        <is>
          <t>REVIEWED</t>
        </is>
      </c>
      <c r="M35" s="4" t="inlineStr">
        <is>
          <t>Neither established nor contradicted: A teacher's thoughts are completely absent from the evidence.</t>
        </is>
      </c>
    </row>
    <row r="36">
      <c r="A36" s="12" t="inlineStr">
        <is>
          <t>ABSENT_EVIDENCE</t>
        </is>
      </c>
      <c r="B36" s="12" t="inlineStr">
        <is>
          <t>weight</t>
        </is>
      </c>
      <c r="C36" s="13" t="inlineStr">
        <is>
          <t>The passage gives the current price of a paper cup in Mumbai.</t>
        </is>
      </c>
      <c r="D36" s="13" t="inlineStr">
        <is>
          <t>Make your own balance with the help of a paper cup, thread and a hanger like the one shown here. Now compare any two objects like eraser, ball, bead, pencil, crayon, etc., to see which one is heavier. Let us Do Circle the heaviest one.</t>
        </is>
      </c>
      <c r="E36" s="12" t="inlineStr">
        <is>
          <t>ABSENT_EVIDENCE</t>
        </is>
      </c>
      <c r="F36" s="12" t="inlineStr">
        <is>
          <t>NEUTRAL</t>
        </is>
      </c>
      <c r="G36" s="14" t="n">
        <v>0.0211226362735033</v>
      </c>
      <c r="H36" s="14" t="n">
        <v>0.0001266547915292904</v>
      </c>
      <c r="I36" s="14" t="n">
        <v>0.9787507057189941</v>
      </c>
      <c r="J36" s="13" t="inlineStr">
        <is>
          <t>No price or local shopping information is supplied.</t>
        </is>
      </c>
      <c r="K36" s="19" t="inlineStr">
        <is>
          <t>NOT_ENOUGH_INFORMATION</t>
        </is>
      </c>
      <c r="L36" s="12" t="inlineStr">
        <is>
          <t>REVIEWED</t>
        </is>
      </c>
      <c r="M36" s="13" t="inlineStr">
        <is>
          <t>Neither established nor contradicted: Prices and Mumbai shopping are completely absent from the evidence.</t>
        </is>
      </c>
    </row>
    <row r="37">
      <c r="A37" s="16" t="inlineStr">
        <is>
          <t>ABSENT_EVIDENCE</t>
        </is>
      </c>
      <c r="B37" s="16" t="inlineStr">
        <is>
          <t>weight</t>
        </is>
      </c>
      <c r="C37" s="4" t="inlineStr">
        <is>
          <t>The passage identifies every bird outside the child's home.</t>
        </is>
      </c>
      <c r="D37" s="4" t="inlineStr">
        <is>
          <t>Make your own balance with the help of a paper cup, thread and a hanger like the one shown here. Now compare any two objects like eraser, ball, bead, pencil, crayon, etc., to see which one is heavier. Let us Do Circle the heaviest one.</t>
        </is>
      </c>
      <c r="E37" s="16" t="inlineStr">
        <is>
          <t>ABSENT_EVIDENCE</t>
        </is>
      </c>
      <c r="F37" s="16" t="inlineStr">
        <is>
          <t>CONTRADICTION</t>
        </is>
      </c>
      <c r="G37" s="17" t="n">
        <v>0.990777850151062</v>
      </c>
      <c r="H37" s="17" t="n">
        <v>2.863788540707901e-05</v>
      </c>
      <c r="I37" s="17" t="n">
        <v>0.009193561971187592</v>
      </c>
      <c r="J37" s="4" t="inlineStr">
        <is>
          <t>Bird identification is absent.</t>
        </is>
      </c>
      <c r="K37" s="19" t="inlineStr">
        <is>
          <t>NOT_ENOUGH_INFORMATION</t>
        </is>
      </c>
      <c r="L37" s="16" t="inlineStr">
        <is>
          <t>REVIEWED</t>
        </is>
      </c>
      <c r="M37" s="4" t="inlineStr">
        <is>
          <t>Neither established nor contradicted: Bird identification is completely absent from the evidence.</t>
        </is>
      </c>
    </row>
    <row r="38">
      <c r="A38" s="12" t="inlineStr">
        <is>
          <t>ABSENT_EVIDENCE</t>
        </is>
      </c>
      <c r="B38" s="12" t="inlineStr">
        <is>
          <t>sikkim</t>
        </is>
      </c>
      <c r="C38" s="13" t="inlineStr">
        <is>
          <t>The passage tells us the exact date of tomorrow's rainfall in Sikkim.</t>
        </is>
      </c>
      <c r="D38" s="13" t="inlineStr">
        <is>
          <t>Why do you think traditional houses in Sikkim are built with wood and have slanting roofs? ... Housing: Wooden houses with sloping roofs.</t>
        </is>
      </c>
      <c r="E38" s="12" t="inlineStr">
        <is>
          <t>ABSENT_EVIDENCE</t>
        </is>
      </c>
      <c r="F38" s="12" t="inlineStr">
        <is>
          <t>CONTRADICTION</t>
        </is>
      </c>
      <c r="G38" s="14" t="n">
        <v>0.8468272686004639</v>
      </c>
      <c r="H38" s="14" t="n">
        <v>0.000314949662424624</v>
      </c>
      <c r="I38" s="14" t="n">
        <v>0.1528577655553818</v>
      </c>
      <c r="J38" s="13" t="inlineStr">
        <is>
          <t>No weather forecast or future date is supplied.</t>
        </is>
      </c>
      <c r="K38" s="19" t="inlineStr">
        <is>
          <t>NOT_ENOUGH_INFORMATION</t>
        </is>
      </c>
      <c r="L38" s="12" t="inlineStr">
        <is>
          <t>REVIEWED</t>
        </is>
      </c>
      <c r="M38" s="13" t="inlineStr">
        <is>
          <t>Neither established nor contradicted: Future weather/rainfall dates in Sikkim are completely absent from the evidence.</t>
        </is>
      </c>
    </row>
    <row r="39">
      <c r="A39" s="16" t="inlineStr">
        <is>
          <t>ABSENT_EVIDENCE</t>
        </is>
      </c>
      <c r="B39" s="16" t="inlineStr">
        <is>
          <t>sikkim</t>
        </is>
      </c>
      <c r="C39" s="4" t="inlineStr">
        <is>
          <t>The passage names the engineer who designed every traditional house in Sikkim.</t>
        </is>
      </c>
      <c r="D39" s="4" t="inlineStr">
        <is>
          <t>Why do you think traditional houses in Sikkim are built with wood and have slanting roofs? ... Housing: Wooden houses with sloping roofs.</t>
        </is>
      </c>
      <c r="E39" s="16" t="inlineStr">
        <is>
          <t>ABSENT_EVIDENCE</t>
        </is>
      </c>
      <c r="F39" s="16" t="inlineStr">
        <is>
          <t>NEUTRAL</t>
        </is>
      </c>
      <c r="G39" s="17" t="n">
        <v>0.002163214841857553</v>
      </c>
      <c r="H39" s="17" t="n">
        <v>0.0001171287876786664</v>
      </c>
      <c r="I39" s="17" t="n">
        <v>0.9977195858955383</v>
      </c>
      <c r="J39" s="4" t="inlineStr">
        <is>
          <t>No architect or engineer is named.</t>
        </is>
      </c>
      <c r="K39" s="19" t="inlineStr">
        <is>
          <t>NOT_ENOUGH_INFORMATION</t>
        </is>
      </c>
      <c r="L39" s="16" t="inlineStr">
        <is>
          <t>REVIEWED</t>
        </is>
      </c>
      <c r="M39" s="4" t="inlineStr">
        <is>
          <t>Neither established nor contradicted: Architects or engineers are completely absent from the evidence.</t>
        </is>
      </c>
    </row>
    <row r="40">
      <c r="A40" s="12" t="inlineStr">
        <is>
          <t>ABSENT_EVIDENCE</t>
        </is>
      </c>
      <c r="B40" s="12" t="inlineStr">
        <is>
          <t>sikkim</t>
        </is>
      </c>
      <c r="C40" s="13" t="inlineStr">
        <is>
          <t>The passage states the exact cost of building a wooden house in Sikkim today.</t>
        </is>
      </c>
      <c r="D40" s="13" t="inlineStr">
        <is>
          <t>Why do you think traditional houses in Sikkim are built with wood and have slanting roofs? ... Housing: Wooden houses with sloping roofs.</t>
        </is>
      </c>
      <c r="E40" s="12" t="inlineStr">
        <is>
          <t>ABSENT_EVIDENCE</t>
        </is>
      </c>
      <c r="F40" s="12" t="inlineStr">
        <is>
          <t>NEUTRAL</t>
        </is>
      </c>
      <c r="G40" s="14" t="n">
        <v>0.3063568472862244</v>
      </c>
      <c r="H40" s="14" t="n">
        <v>0.0002687757951207459</v>
      </c>
      <c r="I40" s="14" t="n">
        <v>0.6933743357658386</v>
      </c>
      <c r="J40" s="13" t="inlineStr">
        <is>
          <t>No construction cost is supplied.</t>
        </is>
      </c>
      <c r="K40" s="19" t="inlineStr">
        <is>
          <t>NOT_ENOUGH_INFORMATION</t>
        </is>
      </c>
      <c r="L40" s="12" t="inlineStr">
        <is>
          <t>REVIEWED</t>
        </is>
      </c>
      <c r="M40" s="13" t="inlineStr">
        <is>
          <t>Neither established nor contradicted: House construction costs are completely absent from the evidence.</t>
        </is>
      </c>
    </row>
    <row r="41">
      <c r="A41" s="16" t="inlineStr">
        <is>
          <t>ABSENT_EVIDENCE</t>
        </is>
      </c>
      <c r="B41" s="16" t="inlineStr">
        <is>
          <t>sikkim</t>
        </is>
      </c>
      <c r="C41" s="4" t="inlineStr">
        <is>
          <t>The passage explains why a particular dog barks at the postman.</t>
        </is>
      </c>
      <c r="D41" s="4" t="inlineStr">
        <is>
          <t>Why do you think traditional houses in Sikkim are built with wood and have slanting roofs? ... Housing: Wooden houses with sloping roofs.</t>
        </is>
      </c>
      <c r="E41" s="16" t="inlineStr">
        <is>
          <t>ABSENT_EVIDENCE</t>
        </is>
      </c>
      <c r="F41" s="16" t="inlineStr">
        <is>
          <t>NEUTRAL</t>
        </is>
      </c>
      <c r="G41" s="17" t="n">
        <v>0.002284256741404533</v>
      </c>
      <c r="H41" s="17" t="n">
        <v>0.0002493477077223361</v>
      </c>
      <c r="I41" s="17" t="n">
        <v>0.9974664449691772</v>
      </c>
      <c r="J41" s="4" t="inlineStr">
        <is>
          <t>Animal behaviour is absent from this evidence.</t>
        </is>
      </c>
      <c r="K41" s="19" t="inlineStr">
        <is>
          <t>NOT_ENOUGH_INFORMATION</t>
        </is>
      </c>
      <c r="L41" s="16" t="inlineStr">
        <is>
          <t>REVIEWED</t>
        </is>
      </c>
      <c r="M41" s="4" t="inlineStr">
        <is>
          <t>Neither established nor contradicted: Dog behavior and postmen are completely absent from the evidence.</t>
        </is>
      </c>
    </row>
  </sheetData>
  <autoFilter ref="A1:M4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2026-10-12T17:16:05Z</dcterms:created>
  <dcterms:modified xmlns:dcterms="http://purl.org/dc/terms/" xmlns:xsi="http://www.w3.org/2001/XMLSchema-instance" xsi:type="dcterms:W3CDTF">2026-10-12T17:16:05Z</dcterms:modified>
</cp:coreProperties>
</file>